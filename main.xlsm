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edward\nwo\excelvba22\"/>
    </mc:Choice>
  </mc:AlternateContent>
  <bookViews>
    <workbookView xWindow="-120" yWindow="-120" windowWidth="29040" windowHeight="15990" tabRatio="436"/>
  </bookViews>
  <sheets>
    <sheet name="Main" sheetId="1" r:id="rId1"/>
    <sheet name="Functions" sheetId="2" r:id="rId2"/>
    <sheet name="OOP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" l="1"/>
  <c r="B21" i="2"/>
  <c r="B22" i="2"/>
  <c r="B20" i="2"/>
  <c r="B19" i="2"/>
  <c r="B18" i="2"/>
  <c r="B17" i="2"/>
  <c r="A25" i="2"/>
  <c r="A16" i="2"/>
  <c r="A15" i="2"/>
  <c r="A20" i="2"/>
  <c r="A2" i="2"/>
  <c r="A31" i="2"/>
  <c r="A19" i="2"/>
  <c r="A9" i="2"/>
  <c r="A33" i="2"/>
  <c r="A17" i="2"/>
  <c r="A26" i="2"/>
  <c r="A28" i="2"/>
  <c r="A18" i="2"/>
  <c r="A32" i="2"/>
  <c r="A21" i="2"/>
  <c r="A27" i="2"/>
  <c r="A22" i="2"/>
  <c r="A3" i="2"/>
  <c r="A29" i="2"/>
  <c r="B24" i="2"/>
  <c r="A14" i="2"/>
  <c r="A23" i="2"/>
  <c r="A30" i="2"/>
  <c r="A24" i="2"/>
  <c r="A10" i="2"/>
  <c r="B10" i="2"/>
  <c r="B15" i="2" l="1"/>
  <c r="B14" i="2"/>
  <c r="B13" i="2"/>
  <c r="B12" i="2"/>
  <c r="B11" i="2"/>
  <c r="B9" i="2"/>
  <c r="B8" i="2"/>
  <c r="B16" i="2"/>
  <c r="B7" i="2"/>
  <c r="B6" i="2" l="1"/>
  <c r="B5" i="2"/>
  <c r="B4" i="2"/>
  <c r="B3" i="2"/>
  <c r="B2" i="2"/>
  <c r="A34" i="2"/>
  <c r="A5" i="2"/>
  <c r="A11" i="2"/>
  <c r="A35" i="2"/>
  <c r="A7" i="2"/>
  <c r="A8" i="2"/>
  <c r="A36" i="2"/>
  <c r="A4" i="2"/>
  <c r="A6" i="2"/>
  <c r="A13" i="2"/>
  <c r="A12" i="2"/>
</calcChain>
</file>

<file path=xl/sharedStrings.xml><?xml version="1.0" encoding="utf-8"?>
<sst xmlns="http://schemas.openxmlformats.org/spreadsheetml/2006/main" count="41" uniqueCount="39">
  <si>
    <t>Name:</t>
  </si>
  <si>
    <t>FUNCTIONS</t>
  </si>
  <si>
    <t>Hello World</t>
  </si>
  <si>
    <t>abcdefg</t>
  </si>
  <si>
    <t>ABCD0000</t>
  </si>
  <si>
    <t>Peter Abelard (peter_abelard)</t>
  </si>
  <si>
    <t>c:\files\reports\2020\february</t>
  </si>
  <si>
    <t>This shows how to launch a UserForm by button click:</t>
  </si>
  <si>
    <t>here</t>
  </si>
  <si>
    <t>Create-HTML-Page Data:</t>
  </si>
  <si>
    <t>content of data.txt</t>
  </si>
  <si>
    <t>first line</t>
  </si>
  <si>
    <t>the 2nd line</t>
  </si>
  <si>
    <t>data.txt</t>
  </si>
  <si>
    <t>intervalProcessor.xlsm</t>
  </si>
  <si>
    <t>main.xlsm</t>
  </si>
  <si>
    <t>maindata.sqlite</t>
  </si>
  <si>
    <t>README.md</t>
  </si>
  <si>
    <t>test.txt</t>
  </si>
  <si>
    <t>test2.sqlite</t>
  </si>
  <si>
    <t>test3.sqlite</t>
  </si>
  <si>
    <t>test.html</t>
  </si>
  <si>
    <t>Test001</t>
  </si>
  <si>
    <t>Test002</t>
  </si>
  <si>
    <t>838383</t>
  </si>
  <si>
    <t>skjfdfsfasdfeeeee</t>
  </si>
  <si>
    <t>eeee</t>
  </si>
  <si>
    <t>Gisela</t>
  </si>
  <si>
    <t>Wolfgang</t>
  </si>
  <si>
    <t>the third line 4444</t>
  </si>
  <si>
    <t>Jim2 Smith</t>
  </si>
  <si>
    <t>test3 - Kopie.sqlite</t>
  </si>
  <si>
    <t>C:\edward\nwo\excelvba22\intervalProcessor.xlsm</t>
  </si>
  <si>
    <t>If you open an Excel file (.xslm), then it will open.</t>
  </si>
  <si>
    <t>Insert in A1 of that file on creation:</t>
  </si>
  <si>
    <t>theStates222</t>
  </si>
  <si>
    <t>Here is the text.</t>
  </si>
  <si>
    <r>
      <t xml:space="preserve">Enter name of file, e.g. </t>
    </r>
    <r>
      <rPr>
        <i/>
        <sz val="11"/>
        <color theme="1"/>
        <rFont val="Calibri"/>
        <family val="2"/>
        <scheme val="minor"/>
      </rPr>
      <t>extraData</t>
    </r>
  </si>
  <si>
    <t>_xFFFF__xFFFF_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</si>
</sst>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4">
    <border>
      <left/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9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9" borderId="0" applyNumberFormat="0" applyBorder="0" applyAlignment="0" applyProtection="0"/>
    <xf numFmtId="0" fontId="5" fillId="10" borderId="0" applyNumberFormat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4" borderId="0" xfId="0" applyFill="1"/>
    <xf numFmtId="0" fontId="0" fillId="6" borderId="0" xfId="0" applyFill="1"/>
    <xf numFmtId="0" fontId="4" fillId="5" borderId="0" xfId="0" applyFont="1" applyFill="1"/>
    <xf numFmtId="0" fontId="4" fillId="7" borderId="0" xfId="0" applyFont="1" applyFill="1"/>
    <xf numFmtId="0" fontId="0" fillId="8" borderId="0" xfId="0" applyFill="1"/>
    <xf numFmtId="0" fontId="3" fillId="8" borderId="0" xfId="2" applyFill="1"/>
    <xf numFmtId="0" fontId="0" fillId="0" borderId="1" xfId="0" applyBorder="1"/>
    <xf numFmtId="0" fontId="0" fillId="0" borderId="2" xfId="0" applyBorder="1"/>
    <xf numFmtId="0" fontId="0" fillId="8" borderId="3" xfId="0" applyFill="1" applyBorder="1"/>
    <xf numFmtId="0" fontId="7" fillId="0" borderId="0" xfId="0" applyFont="1"/>
    <xf numFmtId="0" fontId="8" fillId="10" borderId="0" xfId="4" applyFont="1"/>
    <xf numFmtId="0" fontId="0" fillId="9" borderId="0" xfId="3" applyFont="1"/>
  </cellXfs>
  <cellStyles count="5">
    <cellStyle name="20 % - Akzent3" xfId="2" builtinId="38"/>
    <cellStyle name="20 % - Akzent6" xfId="3" builtinId="50"/>
    <cellStyle name="60 % - Akzent6" xfId="4" builtinId="52"/>
    <cellStyle name="Neutral" xfId="1" builtinId="2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38100</xdr:rowOff>
        </xdr:from>
        <xdr:to>
          <xdr:col>1</xdr:col>
          <xdr:colOff>1962150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Function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28575</xdr:rowOff>
        </xdr:from>
        <xdr:to>
          <xdr:col>1</xdr:col>
          <xdr:colOff>1400175</xdr:colOff>
          <xdr:row>13</xdr:row>
          <xdr:rowOff>171450</xdr:rowOff>
        </xdr:to>
        <xdr:sp macro="" textlink="">
          <xdr:nvSpPr>
            <xdr:cNvPr id="2054" name="cmdGetInf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28575</xdr:rowOff>
        </xdr:from>
        <xdr:to>
          <xdr:col>1</xdr:col>
          <xdr:colOff>1609725</xdr:colOff>
          <xdr:row>18</xdr:row>
          <xdr:rowOff>19050</xdr:rowOff>
        </xdr:to>
        <xdr:sp macro="" textlink="">
          <xdr:nvSpPr>
            <xdr:cNvPr id="2055" name="btnGetDat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19</xdr:row>
          <xdr:rowOff>171450</xdr:rowOff>
        </xdr:from>
        <xdr:to>
          <xdr:col>1</xdr:col>
          <xdr:colOff>1371600</xdr:colOff>
          <xdr:row>23</xdr:row>
          <xdr:rowOff>9525</xdr:rowOff>
        </xdr:to>
        <xdr:sp macro="" textlink="">
          <xdr:nvSpPr>
            <xdr:cNvPr id="2056" name="btnWrit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142875</xdr:rowOff>
        </xdr:from>
        <xdr:to>
          <xdr:col>1</xdr:col>
          <xdr:colOff>1352550</xdr:colOff>
          <xdr:row>25</xdr:row>
          <xdr:rowOff>47625</xdr:rowOff>
        </xdr:to>
        <xdr:sp macro="" textlink="">
          <xdr:nvSpPr>
            <xdr:cNvPr id="2059" name="btnDeleteHtmlPag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25</xdr:row>
          <xdr:rowOff>180975</xdr:rowOff>
        </xdr:from>
        <xdr:to>
          <xdr:col>1</xdr:col>
          <xdr:colOff>1362075</xdr:colOff>
          <xdr:row>27</xdr:row>
          <xdr:rowOff>152400</xdr:rowOff>
        </xdr:to>
        <xdr:sp macro="" textlink="">
          <xdr:nvSpPr>
            <xdr:cNvPr id="2060" name="btnReadTextFil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31</xdr:row>
          <xdr:rowOff>161925</xdr:rowOff>
        </xdr:from>
        <xdr:to>
          <xdr:col>1</xdr:col>
          <xdr:colOff>1390650</xdr:colOff>
          <xdr:row>34</xdr:row>
          <xdr:rowOff>0</xdr:rowOff>
        </xdr:to>
        <xdr:sp macro="" textlink="">
          <xdr:nvSpPr>
            <xdr:cNvPr id="2061" name="btnListFiles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1800225</xdr:colOff>
          <xdr:row>36</xdr:row>
          <xdr:rowOff>47625</xdr:rowOff>
        </xdr:from>
        <xdr:to>
          <xdr:col>1</xdr:col>
          <xdr:colOff>3190875</xdr:colOff>
          <xdr:row>38</xdr:row>
          <xdr:rowOff>171450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40</xdr:row>
          <xdr:rowOff>38100</xdr:rowOff>
        </xdr:from>
        <xdr:to>
          <xdr:col>1</xdr:col>
          <xdr:colOff>1638300</xdr:colOff>
          <xdr:row>43</xdr:row>
          <xdr:rowOff>76200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New 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1676400</xdr:colOff>
          <xdr:row>46</xdr:row>
          <xdr:rowOff>19050</xdr:rowOff>
        </xdr:from>
        <xdr:to>
          <xdr:col>1</xdr:col>
          <xdr:colOff>3181350</xdr:colOff>
          <xdr:row>49</xdr:row>
          <xdr:rowOff>142875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2209800</xdr:colOff>
          <xdr:row>52</xdr:row>
          <xdr:rowOff>152400</xdr:rowOff>
        </xdr:from>
        <xdr:to>
          <xdr:col>1</xdr:col>
          <xdr:colOff>3228975</xdr:colOff>
          <xdr:row>55</xdr:row>
          <xdr:rowOff>76200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Date-Time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Clipboard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952500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28575</xdr:rowOff>
        </xdr:from>
        <xdr:to>
          <xdr:col>2</xdr:col>
          <xdr:colOff>142875</xdr:colOff>
          <xdr:row>3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and 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</xdr:row>
          <xdr:rowOff>47625</xdr:rowOff>
        </xdr:from>
        <xdr:to>
          <xdr:col>3</xdr:col>
          <xdr:colOff>428625</xdr:colOff>
          <xdr:row>3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K54"/>
  <sheetViews>
    <sheetView tabSelected="1" workbookViewId="0"/>
  </sheetViews>
  <sheetFormatPr baseColWidth="10" defaultRowHeight="15" x14ac:dyDescent="0.25"/>
  <cols>
    <col min="1" max="1" width="28.7109375" customWidth="1"/>
    <col min="2" max="2" width="49.140625" customWidth="1"/>
    <col min="3" max="3" width="45" customWidth="1"/>
    <col min="4" max="4" width="34" customWidth="1"/>
    <col min="9" max="9" width="34.85546875" customWidth="1"/>
  </cols>
  <sheetData>
    <row r="1" spans="1:11" x14ac:dyDescent="0.25">
      <c r="A1" s="3">
        <v>0.63871527777777781</v>
      </c>
    </row>
    <row r="2" spans="1:11" x14ac:dyDescent="0.25">
      <c r="A2" s="1" t="s">
        <v>0</v>
      </c>
      <c r="B2" s="2" t="s">
        <v>25</v>
      </c>
    </row>
    <row r="9" spans="1:11" x14ac:dyDescent="0.25">
      <c r="K9" t="s">
        <v>13</v>
      </c>
    </row>
    <row r="11" spans="1:11" x14ac:dyDescent="0.25">
      <c r="B11" t="s">
        <v>7</v>
      </c>
      <c r="I11" s="19" t="s">
        <v>13</v>
      </c>
    </row>
    <row r="12" spans="1:11" x14ac:dyDescent="0.25">
      <c r="I12" s="19" t="s">
        <v>14</v>
      </c>
    </row>
    <row r="13" spans="1:11" x14ac:dyDescent="0.25">
      <c r="I13" s="19" t="s">
        <v>15</v>
      </c>
    </row>
    <row r="14" spans="1:11" x14ac:dyDescent="0.25">
      <c r="I14" s="19" t="s">
        <v>16</v>
      </c>
    </row>
    <row r="15" spans="1:11" x14ac:dyDescent="0.25">
      <c r="I15" s="19" t="s">
        <v>17</v>
      </c>
    </row>
    <row r="16" spans="1:11" x14ac:dyDescent="0.25">
      <c r="A16" t="s">
        <v>8</v>
      </c>
      <c r="C16">
        <v>1</v>
      </c>
      <c r="D16" t="s">
        <v>22</v>
      </c>
      <c r="I16" s="19" t="s">
        <v>21</v>
      </c>
    </row>
    <row r="17" spans="3:9" x14ac:dyDescent="0.25">
      <c r="C17">
        <v>2</v>
      </c>
      <c r="D17" t="s">
        <v>23</v>
      </c>
      <c r="I17" s="19" t="s">
        <v>18</v>
      </c>
    </row>
    <row r="18" spans="3:9" x14ac:dyDescent="0.25">
      <c r="C18">
        <v>3</v>
      </c>
      <c r="D18" t="s">
        <v>26</v>
      </c>
      <c r="I18" s="19" t="s">
        <v>19</v>
      </c>
    </row>
    <row r="19" spans="3:9" x14ac:dyDescent="0.25">
      <c r="C19">
        <v>4</v>
      </c>
      <c r="D19" t="s">
        <v>24</v>
      </c>
      <c r="I19" s="19" t="s">
        <v>31</v>
      </c>
    </row>
    <row r="20" spans="3:9" x14ac:dyDescent="0.25">
      <c r="I20" s="19" t="s">
        <v>20</v>
      </c>
    </row>
    <row r="21" spans="3:9" x14ac:dyDescent="0.25">
      <c r="C21" s="17" t="s">
        <v>9</v>
      </c>
      <c r="I21" s="19"/>
    </row>
    <row r="22" spans="3:9" x14ac:dyDescent="0.25">
      <c r="C22" s="16" t="s">
        <v>27</v>
      </c>
      <c r="I22" s="19"/>
    </row>
    <row r="23" spans="3:9" s="6" customFormat="1" x14ac:dyDescent="0.25">
      <c r="C23" s="16" t="s">
        <v>27</v>
      </c>
      <c r="I23" s="20"/>
    </row>
    <row r="24" spans="3:9" x14ac:dyDescent="0.25">
      <c r="C24" s="16" t="s">
        <v>28</v>
      </c>
      <c r="I24" s="19"/>
    </row>
    <row r="25" spans="3:9" x14ac:dyDescent="0.25">
      <c r="I25" s="19"/>
    </row>
    <row r="26" spans="3:9" x14ac:dyDescent="0.25">
      <c r="I26" s="19"/>
    </row>
    <row r="27" spans="3:9" x14ac:dyDescent="0.25">
      <c r="C27" s="18" t="s">
        <v>10</v>
      </c>
      <c r="I27" s="19"/>
    </row>
    <row r="28" spans="3:9" x14ac:dyDescent="0.25">
      <c r="C28" s="15" t="s">
        <v>11</v>
      </c>
    </row>
    <row r="29" spans="3:9" x14ac:dyDescent="0.25">
      <c r="C29" s="15" t="s">
        <v>12</v>
      </c>
    </row>
    <row r="30" spans="3:9" x14ac:dyDescent="0.25">
      <c r="C30" s="15" t="s">
        <v>29</v>
      </c>
    </row>
    <row r="37" spans="2:4" x14ac:dyDescent="0.25">
      <c r="C37" s="22"/>
    </row>
    <row r="38" spans="2:4" x14ac:dyDescent="0.25">
      <c r="B38" s="21"/>
      <c r="C38" s="23" t="s">
        <v>32</v>
      </c>
    </row>
    <row r="39" spans="2:4" x14ac:dyDescent="0.25">
      <c r="C39" s="24" t="s">
        <v>33</v>
      </c>
    </row>
    <row r="47" spans="2:4" x14ac:dyDescent="0.25">
      <c r="C47" t="s">
        <v>37</v>
      </c>
      <c r="D47" t="s">
        <v>34</v>
      </c>
    </row>
    <row r="48" spans="2:4" x14ac:dyDescent="0.25">
      <c r="C48" s="25" t="s">
        <v>35</v>
      </c>
      <c r="D48" s="26" t="s">
        <v>36</v>
      </c>
    </row>
    <row r="54" spans="3:3" x14ac:dyDescent="0.25">
      <c r="C54" t="s">
        <v>38</v>
      </c>
    </row>
  </sheetData>
  <dataConsolidate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cmdGetInfo">
          <controlPr defaultSize="0" autoLine="0" r:id="rId5">
            <anchor moveWithCells="1">
              <from>
                <xdr:col>1</xdr:col>
                <xdr:colOff>47625</xdr:colOff>
                <xdr:row>11</xdr:row>
                <xdr:rowOff>28575</xdr:rowOff>
              </from>
              <to>
                <xdr:col>1</xdr:col>
                <xdr:colOff>1400175</xdr:colOff>
                <xdr:row>13</xdr:row>
                <xdr:rowOff>171450</xdr:rowOff>
              </to>
            </anchor>
          </controlPr>
        </control>
      </mc:Choice>
      <mc:Fallback>
        <control shapeId="2054" r:id="rId4" name="cmdGetInfo"/>
      </mc:Fallback>
    </mc:AlternateContent>
    <mc:AlternateContent xmlns:mc="http://schemas.openxmlformats.org/markup-compatibility/2006">
      <mc:Choice Requires="x14">
        <control shapeId="2055" r:id="rId6" name="btnGetData">
          <controlPr defaultSize="0" autoLine="0" autoPict="0" r:id="rId7">
            <anchor moveWithCells="1">
              <from>
                <xdr:col>1</xdr:col>
                <xdr:colOff>76200</xdr:colOff>
                <xdr:row>15</xdr:row>
                <xdr:rowOff>28575</xdr:rowOff>
              </from>
              <to>
                <xdr:col>1</xdr:col>
                <xdr:colOff>1609725</xdr:colOff>
                <xdr:row>18</xdr:row>
                <xdr:rowOff>19050</xdr:rowOff>
              </to>
            </anchor>
          </controlPr>
        </control>
      </mc:Choice>
      <mc:Fallback>
        <control shapeId="2055" r:id="rId6" name="btnGetData"/>
      </mc:Fallback>
    </mc:AlternateContent>
    <mc:AlternateContent xmlns:mc="http://schemas.openxmlformats.org/markup-compatibility/2006">
      <mc:Choice Requires="x14">
        <control shapeId="2056" r:id="rId8" name="btnWriteFile">
          <controlPr defaultSize="0" autoLine="0" r:id="rId9">
            <anchor moveWithCells="1">
              <from>
                <xdr:col>1</xdr:col>
                <xdr:colOff>114300</xdr:colOff>
                <xdr:row>19</xdr:row>
                <xdr:rowOff>171450</xdr:rowOff>
              </from>
              <to>
                <xdr:col>1</xdr:col>
                <xdr:colOff>1371600</xdr:colOff>
                <xdr:row>23</xdr:row>
                <xdr:rowOff>9525</xdr:rowOff>
              </to>
            </anchor>
          </controlPr>
        </control>
      </mc:Choice>
      <mc:Fallback>
        <control shapeId="2056" r:id="rId8" name="btnWriteFile"/>
      </mc:Fallback>
    </mc:AlternateContent>
    <mc:AlternateContent xmlns:mc="http://schemas.openxmlformats.org/markup-compatibility/2006">
      <mc:Choice Requires="x14">
        <control shapeId="2059" r:id="rId10" name="btnDeleteHtmlPage">
          <controlPr defaultSize="0" autoLine="0" r:id="rId11">
            <anchor moveWithCells="1">
              <from>
                <xdr:col>1</xdr:col>
                <xdr:colOff>123825</xdr:colOff>
                <xdr:row>23</xdr:row>
                <xdr:rowOff>142875</xdr:rowOff>
              </from>
              <to>
                <xdr:col>1</xdr:col>
                <xdr:colOff>1352550</xdr:colOff>
                <xdr:row>25</xdr:row>
                <xdr:rowOff>47625</xdr:rowOff>
              </to>
            </anchor>
          </controlPr>
        </control>
      </mc:Choice>
      <mc:Fallback>
        <control shapeId="2059" r:id="rId10" name="btnDeleteHtmlPage"/>
      </mc:Fallback>
    </mc:AlternateContent>
    <mc:AlternateContent xmlns:mc="http://schemas.openxmlformats.org/markup-compatibility/2006">
      <mc:Choice Requires="x14">
        <control shapeId="2060" r:id="rId12" name="btnReadTextFile">
          <controlPr defaultSize="0" autoLine="0" r:id="rId13">
            <anchor moveWithCells="1">
              <from>
                <xdr:col>1</xdr:col>
                <xdr:colOff>133350</xdr:colOff>
                <xdr:row>25</xdr:row>
                <xdr:rowOff>180975</xdr:rowOff>
              </from>
              <to>
                <xdr:col>1</xdr:col>
                <xdr:colOff>1362075</xdr:colOff>
                <xdr:row>27</xdr:row>
                <xdr:rowOff>152400</xdr:rowOff>
              </to>
            </anchor>
          </controlPr>
        </control>
      </mc:Choice>
      <mc:Fallback>
        <control shapeId="2060" r:id="rId12" name="btnReadTextFile"/>
      </mc:Fallback>
    </mc:AlternateContent>
    <mc:AlternateContent xmlns:mc="http://schemas.openxmlformats.org/markup-compatibility/2006">
      <mc:Choice Requires="x14">
        <control shapeId="2061" r:id="rId14" name="btnListFiles">
          <controlPr defaultSize="0" autoLine="0" r:id="rId15">
            <anchor moveWithCells="1">
              <from>
                <xdr:col>1</xdr:col>
                <xdr:colOff>228600</xdr:colOff>
                <xdr:row>31</xdr:row>
                <xdr:rowOff>161925</xdr:rowOff>
              </from>
              <to>
                <xdr:col>1</xdr:col>
                <xdr:colOff>1390650</xdr:colOff>
                <xdr:row>34</xdr:row>
                <xdr:rowOff>0</xdr:rowOff>
              </to>
            </anchor>
          </controlPr>
        </control>
      </mc:Choice>
      <mc:Fallback>
        <control shapeId="2061" r:id="rId14" name="btnListFiles"/>
      </mc:Fallback>
    </mc:AlternateContent>
    <mc:AlternateContent xmlns:mc="http://schemas.openxmlformats.org/markup-compatibility/2006">
      <mc:Choice Requires="x14">
        <control shapeId="2049" r:id="rId16" name="Button 1">
          <controlPr defaultSize="0" print="0" autoFill="0" autoPict="0" macro="[0]!ThisWorkbook.FixName">
            <anchor moveWithCells="1" sizeWithCells="1">
              <from>
                <xdr:col>1</xdr:col>
                <xdr:colOff>28575</xdr:colOff>
                <xdr:row>3</xdr:row>
                <xdr:rowOff>57150</xdr:rowOff>
              </from>
              <to>
                <xdr:col>1</xdr:col>
                <xdr:colOff>1409700</xdr:colOff>
                <xdr:row>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17" name="Button 2">
          <controlPr defaultSize="0" print="0" autoFill="0" autoPict="0" macro="'ThisWorkbook.GotoWorksheet(&quot;Functions&quot;)'">
            <anchor moveWithCells="1" sizeWithCells="1">
              <from>
                <xdr:col>1</xdr:col>
                <xdr:colOff>28575</xdr:colOff>
                <xdr:row>6</xdr:row>
                <xdr:rowOff>38100</xdr:rowOff>
              </from>
              <to>
                <xdr:col>1</xdr:col>
                <xdr:colOff>1962150</xdr:colOff>
                <xdr:row>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18" name="Button 14">
          <controlPr defaultSize="0" print="0" autoFill="0" autoPict="0" macro="[0]!ThisWorkbook.ChooseFile">
            <anchor moveWithCells="1" sizeWithCells="1">
              <from>
                <xdr:col>1</xdr:col>
                <xdr:colOff>1800225</xdr:colOff>
                <xdr:row>36</xdr:row>
                <xdr:rowOff>47625</xdr:rowOff>
              </from>
              <to>
                <xdr:col>1</xdr:col>
                <xdr:colOff>3190875</xdr:colOff>
                <xdr:row>38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9" name="Button 15">
          <controlPr defaultSize="0" print="0" autoFill="0" autoPict="0" macro="[0]!ThisWorkbook.OpenNewExcelFile">
            <anchor moveWithCells="1" sizeWithCells="1">
              <from>
                <xdr:col>1</xdr:col>
                <xdr:colOff>104775</xdr:colOff>
                <xdr:row>40</xdr:row>
                <xdr:rowOff>38100</xdr:rowOff>
              </from>
              <to>
                <xdr:col>1</xdr:col>
                <xdr:colOff>1638300</xdr:colOff>
                <xdr:row>43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20" name="Button 16">
          <controlPr defaultSize="0" print="0" autoFill="0" autoPict="0" macro="[0]!ThisWorkbook.CreateNewExcelFileInDirectory">
            <anchor moveWithCells="1" sizeWithCells="1">
              <from>
                <xdr:col>1</xdr:col>
                <xdr:colOff>1676400</xdr:colOff>
                <xdr:row>46</xdr:row>
                <xdr:rowOff>19050</xdr:rowOff>
              </from>
              <to>
                <xdr:col>1</xdr:col>
                <xdr:colOff>3181350</xdr:colOff>
                <xdr:row>49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21" name="Button 17">
          <controlPr defaultSize="0" print="0" autoFill="0" autoPict="0" macro="[0]!ThisWorkbook.CopyTimeToClipboard">
            <anchor moveWithCells="1" sizeWithCells="1">
              <from>
                <xdr:col>1</xdr:col>
                <xdr:colOff>2209800</xdr:colOff>
                <xdr:row>52</xdr:row>
                <xdr:rowOff>152400</xdr:rowOff>
              </from>
              <to>
                <xdr:col>1</xdr:col>
                <xdr:colOff>3228975</xdr:colOff>
                <xdr:row>55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nctions"/>
  <dimension ref="A1:D36"/>
  <sheetViews>
    <sheetView workbookViewId="0"/>
  </sheetViews>
  <sheetFormatPr baseColWidth="10" defaultRowHeight="15" x14ac:dyDescent="0.25"/>
  <cols>
    <col min="1" max="1" width="28.7109375" customWidth="1"/>
    <col min="2" max="2" width="113.140625" style="11" customWidth="1"/>
    <col min="3" max="3" width="28.5703125" customWidth="1"/>
  </cols>
  <sheetData>
    <row r="1" spans="1:4" s="6" customFormat="1" ht="27" customHeight="1" x14ac:dyDescent="0.25">
      <c r="A1" s="8" t="s">
        <v>1</v>
      </c>
      <c r="B1" s="7"/>
    </row>
    <row r="2" spans="1:4" x14ac:dyDescent="0.25">
      <c r="A2" s="5" t="str">
        <f>qexc_GetFormula(B2)</f>
        <v>=TODAY()</v>
      </c>
      <c r="B2" s="9">
        <f ca="1">TODAY()</f>
        <v>44118</v>
      </c>
    </row>
    <row r="3" spans="1:4" x14ac:dyDescent="0.25">
      <c r="A3" s="5" t="str">
        <f>qexc_GetFormula(B3)</f>
        <v>=NOW()</v>
      </c>
      <c r="B3" s="10">
        <f ca="1">NOW()</f>
        <v>44118.655709375002</v>
      </c>
      <c r="D3" s="4"/>
    </row>
    <row r="4" spans="1:4" x14ac:dyDescent="0.25">
      <c r="A4" s="5" t="str">
        <f t="shared" ref="A4:A36" si="0">qexc_GetFormula(B4)</f>
        <v>=YEAR(TODAY())</v>
      </c>
      <c r="B4" s="11">
        <f ca="1">YEAR(TODAY())</f>
        <v>2020</v>
      </c>
    </row>
    <row r="5" spans="1:4" x14ac:dyDescent="0.25">
      <c r="A5" s="5" t="str">
        <f t="shared" si="0"/>
        <v>=DAY(TODAY())</v>
      </c>
      <c r="B5" s="11">
        <f ca="1">DAY(TODAY())</f>
        <v>14</v>
      </c>
    </row>
    <row r="6" spans="1:4" x14ac:dyDescent="0.25">
      <c r="A6" s="5" t="str">
        <f t="shared" si="0"/>
        <v>=MONTH(TODAY())</v>
      </c>
      <c r="B6" s="11">
        <f ca="1">MONTH(TODAY())</f>
        <v>10</v>
      </c>
    </row>
    <row r="7" spans="1:4" x14ac:dyDescent="0.25">
      <c r="A7" s="5" t="str">
        <f t="shared" si="0"/>
        <v>=qdat_GermanDate(TODAY())</v>
      </c>
      <c r="B7" s="11" t="str">
        <f ca="1">qdat_GermanDate(TODAY())</f>
        <v>14.10.2020</v>
      </c>
    </row>
    <row r="8" spans="1:4" x14ac:dyDescent="0.25">
      <c r="A8" s="5" t="str">
        <f t="shared" si="0"/>
        <v>=qdat_GermanDate(C8)</v>
      </c>
      <c r="B8" s="11" t="str">
        <f>qdat_GermanDate(C8)</f>
        <v>15.11.2020</v>
      </c>
      <c r="C8" s="4">
        <v>44150</v>
      </c>
    </row>
    <row r="9" spans="1:4" x14ac:dyDescent="0.25">
      <c r="A9" s="5" t="str">
        <f t="shared" si="0"/>
        <v>=qdat_AmericanDate(C8)</v>
      </c>
      <c r="B9" s="11" t="str">
        <f>qdat_AmericanDate(C8)</f>
        <v>11/15/2020</v>
      </c>
    </row>
    <row r="10" spans="1:4" x14ac:dyDescent="0.25">
      <c r="A10" s="5" t="str">
        <f t="shared" si="0"/>
        <v>=qdat_ISO8601(C8)</v>
      </c>
      <c r="B10" s="11" t="str">
        <f>qdat_ISO8601(C8)</f>
        <v>2020-11-15</v>
      </c>
    </row>
    <row r="11" spans="1:4" x14ac:dyDescent="0.25">
      <c r="A11" s="5" t="str">
        <f t="shared" si="0"/>
        <v>=LEN(C11)</v>
      </c>
      <c r="B11" s="11">
        <f>LEN(C11)</f>
        <v>11</v>
      </c>
      <c r="C11" t="s">
        <v>2</v>
      </c>
    </row>
    <row r="12" spans="1:4" x14ac:dyDescent="0.25">
      <c r="A12" s="5" t="str">
        <f t="shared" si="0"/>
        <v>=HOUR(C12)</v>
      </c>
      <c r="B12" s="11">
        <f>HOUR(C12)</f>
        <v>0</v>
      </c>
      <c r="C12" s="12">
        <v>4.0011574074074074E-2</v>
      </c>
    </row>
    <row r="13" spans="1:4" x14ac:dyDescent="0.25">
      <c r="A13" s="5" t="str">
        <f t="shared" si="0"/>
        <v>=MINUTE(C12)</v>
      </c>
      <c r="B13" s="11">
        <f>MINUTE(C12)</f>
        <v>57</v>
      </c>
    </row>
    <row r="14" spans="1:4" x14ac:dyDescent="0.25">
      <c r="A14" s="5" t="str">
        <f t="shared" si="0"/>
        <v>=SECOND(C12)</v>
      </c>
      <c r="B14" s="11">
        <f>SECOND(C12)</f>
        <v>37</v>
      </c>
    </row>
    <row r="15" spans="1:4" x14ac:dyDescent="0.25">
      <c r="A15" s="5" t="str">
        <f t="shared" si="0"/>
        <v>=C15-C12</v>
      </c>
      <c r="B15" s="13">
        <f>C15-C12</f>
        <v>6.5972222222222127E-4</v>
      </c>
      <c r="C15" s="12">
        <v>4.0671296296296296E-2</v>
      </c>
    </row>
    <row r="16" spans="1:4" x14ac:dyDescent="0.25">
      <c r="A16" s="5" t="str">
        <f t="shared" si="0"/>
        <v>=qmat_SumOfDigits(C16)</v>
      </c>
      <c r="B16" s="11">
        <f>qmat_SumOfDigits(C16)</f>
        <v>21</v>
      </c>
      <c r="C16">
        <v>123456</v>
      </c>
    </row>
    <row r="17" spans="1:3" x14ac:dyDescent="0.25">
      <c r="A17" s="5" t="str">
        <f t="shared" si="0"/>
        <v>=DATE(2020,12,31)</v>
      </c>
      <c r="B17" s="9">
        <f>DATE(2020,12,31)</f>
        <v>44196</v>
      </c>
    </row>
    <row r="18" spans="1:3" x14ac:dyDescent="0.25">
      <c r="A18" s="5" t="str">
        <f t="shared" si="0"/>
        <v>=EOMONTH(C8,0)</v>
      </c>
      <c r="B18" s="9">
        <f>EOMONTH(C8,0)</f>
        <v>44165</v>
      </c>
    </row>
    <row r="19" spans="1:3" x14ac:dyDescent="0.25">
      <c r="A19" s="5" t="str">
        <f t="shared" si="0"/>
        <v>=MID(C19,4,2)</v>
      </c>
      <c r="B19" s="11" t="str">
        <f>MID(C19,4,2)</f>
        <v>de</v>
      </c>
      <c r="C19" t="s">
        <v>3</v>
      </c>
    </row>
    <row r="20" spans="1:3" x14ac:dyDescent="0.25">
      <c r="A20" s="5" t="str">
        <f t="shared" si="0"/>
        <v>=REPLACE(C20,5,4,"****")</v>
      </c>
      <c r="B20" t="str">
        <f>REPLACE(C20,5,4,"****")</f>
        <v>ABCD****</v>
      </c>
      <c r="C20" t="s">
        <v>4</v>
      </c>
    </row>
    <row r="21" spans="1:3" x14ac:dyDescent="0.25">
      <c r="A21" s="5" t="str">
        <f t="shared" si="0"/>
        <v>=FIND("abe",C21)</v>
      </c>
      <c r="B21" s="14">
        <f>FIND("abe",C21)</f>
        <v>22</v>
      </c>
      <c r="C21" t="s">
        <v>5</v>
      </c>
    </row>
    <row r="22" spans="1:3" x14ac:dyDescent="0.25">
      <c r="A22" s="5" t="str">
        <f t="shared" si="0"/>
        <v>=SEARCH("abe",C21)</v>
      </c>
      <c r="B22" s="11">
        <f>SEARCH("abe",C21)</f>
        <v>7</v>
      </c>
    </row>
    <row r="23" spans="1:3" x14ac:dyDescent="0.25">
      <c r="A23" s="5" t="str">
        <f t="shared" si="0"/>
        <v>=FIND("\",C23)</v>
      </c>
      <c r="B23" s="11">
        <f>FIND("\",C23)</f>
        <v>3</v>
      </c>
      <c r="C23" t="s">
        <v>6</v>
      </c>
    </row>
    <row r="24" spans="1:3" x14ac:dyDescent="0.25">
      <c r="A24" s="5" t="str">
        <f t="shared" si="0"/>
        <v>=qstr_FindFromRight("\",C23)</v>
      </c>
      <c r="B24" s="11">
        <f>qstr_FindFromRight("\",C23)</f>
        <v>22</v>
      </c>
    </row>
    <row r="25" spans="1:3" x14ac:dyDescent="0.25">
      <c r="A25" s="5" t="str">
        <f t="shared" si="0"/>
        <v/>
      </c>
    </row>
    <row r="26" spans="1:3" x14ac:dyDescent="0.25">
      <c r="A26" s="5" t="str">
        <f t="shared" si="0"/>
        <v/>
      </c>
    </row>
    <row r="27" spans="1:3" x14ac:dyDescent="0.25">
      <c r="A27" s="5" t="str">
        <f t="shared" si="0"/>
        <v/>
      </c>
    </row>
    <row r="28" spans="1:3" x14ac:dyDescent="0.25">
      <c r="A28" s="5" t="str">
        <f t="shared" si="0"/>
        <v/>
      </c>
    </row>
    <row r="29" spans="1:3" x14ac:dyDescent="0.25">
      <c r="A29" s="5" t="str">
        <f t="shared" si="0"/>
        <v/>
      </c>
    </row>
    <row r="30" spans="1:3" x14ac:dyDescent="0.25">
      <c r="A30" s="5" t="str">
        <f t="shared" si="0"/>
        <v/>
      </c>
    </row>
    <row r="31" spans="1:3" x14ac:dyDescent="0.25">
      <c r="A31" s="5" t="str">
        <f t="shared" si="0"/>
        <v/>
      </c>
    </row>
    <row r="32" spans="1:3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  <row r="35" spans="1:1" x14ac:dyDescent="0.25">
      <c r="A35" s="5" t="str">
        <f t="shared" si="0"/>
        <v/>
      </c>
    </row>
    <row r="36" spans="1:1" x14ac:dyDescent="0.25">
      <c r="A36" s="5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'ThisWorkbook.GotoWorksheet(&quot;Main&quot;)'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952500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op"/>
  <dimension ref="A5"/>
  <sheetViews>
    <sheetView workbookViewId="0">
      <selection activeCell="E34" sqref="E34"/>
    </sheetView>
  </sheetViews>
  <sheetFormatPr baseColWidth="10" defaultRowHeight="15" x14ac:dyDescent="0.25"/>
  <sheetData>
    <row r="5" spans="1:1" x14ac:dyDescent="0.25">
      <c r="A5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op.DemonstrateTypes">
                <anchor moveWithCells="1" sizeWithCells="1">
                  <from>
                    <xdr:col>0</xdr:col>
                    <xdr:colOff>133350</xdr:colOff>
                    <xdr:row>1</xdr:row>
                    <xdr:rowOff>28575</xdr:rowOff>
                  </from>
                  <to>
                    <xdr:col>2</xdr:col>
                    <xdr:colOff>142875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oop.ClearTypeArea">
                <anchor moveWithCells="1" sizeWithCells="1">
                  <from>
                    <xdr:col>2</xdr:col>
                    <xdr:colOff>323850</xdr:colOff>
                    <xdr:row>1</xdr:row>
                    <xdr:rowOff>47625</xdr:rowOff>
                  </from>
                  <to>
                    <xdr:col>3</xdr:col>
                    <xdr:colOff>428625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Main</vt:lpstr>
      <vt:lpstr>Functions</vt:lpstr>
      <vt:lpstr>OOP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 Tanguay</cp:lastModifiedBy>
  <dcterms:created xsi:type="dcterms:W3CDTF">2020-10-03T10:13:31Z</dcterms:created>
  <dcterms:modified xsi:type="dcterms:W3CDTF">2020-10-14T13:44:19Z</dcterms:modified>
</cp:coreProperties>
</file>